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<sst xmlns="http://schemas.openxmlformats.org/spreadsheetml/2006/main" count="101" uniqueCount="33">
  <si>
    <t>NO</t>
  </si>
  <si>
    <t>Nama Kebutuhan</t>
  </si>
  <si>
    <t>Penjelasan</t>
  </si>
  <si>
    <t>QTY</t>
  </si>
  <si>
    <t>Satuan</t>
  </si>
  <si>
    <t>Harga</t>
  </si>
  <si>
    <t>Perkiraan Biaya</t>
  </si>
  <si>
    <t>RENCANA PENGELUARAN</t>
  </si>
  <si>
    <t>Router 2911</t>
  </si>
  <si>
    <t>pcs</t>
  </si>
  <si>
    <t>Multilayer switch 2950</t>
  </si>
  <si>
    <t>TOTAL</t>
  </si>
  <si>
    <t>PC</t>
  </si>
  <si>
    <t>webcam</t>
  </si>
  <si>
    <t>Access point</t>
  </si>
  <si>
    <t>Lantai 2</t>
  </si>
  <si>
    <t>laptop</t>
  </si>
  <si>
    <t>Acces point</t>
  </si>
  <si>
    <t>Lantai 3</t>
  </si>
  <si>
    <t>Smartphone</t>
  </si>
  <si>
    <t>Lantai 4</t>
  </si>
  <si>
    <t>Lantai 5</t>
  </si>
  <si>
    <t>Tablet</t>
  </si>
  <si>
    <t>Printer</t>
  </si>
  <si>
    <t>Lantai 6</t>
  </si>
  <si>
    <t>smartphone</t>
  </si>
  <si>
    <t>Lantai 7</t>
  </si>
  <si>
    <t>Laptop</t>
  </si>
  <si>
    <t>Lnatai 8</t>
  </si>
  <si>
    <t>Lantai 9</t>
  </si>
  <si>
    <t>Lantai 10</t>
  </si>
  <si>
    <t>Maintenance</t>
  </si>
  <si>
    <t>Lainnya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</si>
</sst>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]#,##0"/>
  </numFmts>
  <fonts count="6">
    <font>
      <sz val="10.0"/>
      <color rgb="FF000000"/>
      <name val="Arial"/>
      <scheme val="minor"/>
    </font>
    <font>
      <b/>
      <sz val="12.0"/>
      <color rgb="FF000000"/>
      <name val="Rockwell"/>
    </font>
    <font/>
    <font>
      <sz val="12.0"/>
      <color rgb="FF000000"/>
      <name val="Rockwell"/>
    </font>
    <font>
      <color rgb="FF000000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 vertical="bottom"/>
    </xf>
    <xf borderId="4" fillId="0" fontId="2" numFmtId="0" xfId="0" applyBorder="1" applyFont="1"/>
    <xf borderId="2" fillId="0" fontId="2" numFmtId="0" xfId="0" applyBorder="1" applyFont="1"/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4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164" xfId="0" applyAlignment="1" applyBorder="1" applyFont="1" applyNumberFormat="1">
      <alignment readingOrder="0"/>
    </xf>
    <xf borderId="5" fillId="0" fontId="2" numFmtId="0" xfId="0" applyBorder="1" applyFont="1"/>
    <xf borderId="3" fillId="3" fontId="1" numFmtId="0" xfId="0" applyAlignment="1" applyBorder="1" applyFill="1" applyFont="1">
      <alignment horizontal="center" readingOrder="0"/>
    </xf>
    <xf borderId="6" fillId="3" fontId="1" numFmtId="164" xfId="0" applyAlignment="1" applyBorder="1" applyFont="1" applyNumberFormat="1">
      <alignment readingOrder="0"/>
    </xf>
    <xf borderId="7" fillId="0" fontId="3" numFmtId="0" xfId="0" applyAlignment="1" applyBorder="1" applyFont="1">
      <alignment horizontal="center" readingOrder="0" vertical="center"/>
    </xf>
    <xf borderId="6" fillId="0" fontId="3" numFmtId="165" xfId="0" applyAlignment="1" applyBorder="1" applyFont="1" applyNumberFormat="1">
      <alignment horizontal="right" readingOrder="0"/>
    </xf>
    <xf borderId="7" fillId="0" fontId="2" numFmtId="0" xfId="0" applyBorder="1" applyFont="1"/>
    <xf borderId="5" fillId="0" fontId="4" numFmtId="0" xfId="0" applyBorder="1" applyFont="1"/>
    <xf borderId="6" fillId="0" fontId="4" numFmtId="0" xfId="0" applyBorder="1" applyFont="1"/>
    <xf borderId="6" fillId="0" fontId="3" numFmtId="165" xfId="0" applyAlignment="1" applyBorder="1" applyFont="1" applyNumberFormat="1">
      <alignment readingOrder="0"/>
    </xf>
    <xf borderId="3" fillId="4" fontId="1" numFmtId="0" xfId="0" applyAlignment="1" applyBorder="1" applyFill="1" applyFont="1">
      <alignment horizontal="center" readingOrder="0"/>
    </xf>
    <xf borderId="6" fillId="4" fontId="1" numFmtId="164" xfId="0" applyAlignment="1" applyBorder="1" applyFont="1" applyNumberForma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4" width="22.88"/>
    <col customWidth="1" min="5" max="5" width="11.88"/>
    <col customWidth="1" min="8" max="8" width="15.75"/>
    <col customWidth="1" min="9" max="9" width="19.63"/>
  </cols>
  <sheetData>
    <row r="3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>
      <c r="C4" s="3" t="s">
        <v>7</v>
      </c>
      <c r="D4" s="4"/>
      <c r="E4" s="4"/>
      <c r="F4" s="4"/>
      <c r="G4" s="4"/>
      <c r="H4" s="4"/>
      <c r="I4" s="5"/>
    </row>
    <row r="5">
      <c r="C5" s="6">
        <v>1.0</v>
      </c>
      <c r="D5" s="7" t="s">
        <v>8</v>
      </c>
      <c r="E5" s="8"/>
      <c r="F5" s="9">
        <v>1.0</v>
      </c>
      <c r="G5" s="9" t="s">
        <v>9</v>
      </c>
      <c r="H5" s="10">
        <v>4.21E7</v>
      </c>
      <c r="I5" s="10">
        <f t="shared" ref="I5:I6" si="1">F5*H5</f>
        <v>42100000</v>
      </c>
    </row>
    <row r="6">
      <c r="C6" s="6">
        <v>2.0</v>
      </c>
      <c r="D6" s="7" t="s">
        <v>10</v>
      </c>
      <c r="E6" s="11"/>
      <c r="F6" s="9">
        <v>1.0</v>
      </c>
      <c r="G6" s="9" t="s">
        <v>9</v>
      </c>
      <c r="H6" s="10">
        <v>5400000.0</v>
      </c>
      <c r="I6" s="10">
        <f t="shared" si="1"/>
        <v>5400000</v>
      </c>
    </row>
    <row r="7">
      <c r="C7" s="12" t="s">
        <v>11</v>
      </c>
      <c r="D7" s="4"/>
      <c r="E7" s="4"/>
      <c r="F7" s="4"/>
      <c r="G7" s="4"/>
      <c r="H7" s="5"/>
      <c r="I7" s="13">
        <f>SUM(I5:I6)</f>
        <v>47500000</v>
      </c>
    </row>
    <row r="8">
      <c r="C8" s="6">
        <v>2.0</v>
      </c>
      <c r="D8" s="7" t="s">
        <v>12</v>
      </c>
      <c r="E8" s="14"/>
      <c r="F8" s="9">
        <v>4.0</v>
      </c>
      <c r="G8" s="9" t="s">
        <v>9</v>
      </c>
      <c r="H8" s="15">
        <v>1.2E7</v>
      </c>
      <c r="I8" s="10">
        <f t="shared" ref="I8:I9" si="2">F8*H8</f>
        <v>48000000</v>
      </c>
    </row>
    <row r="9">
      <c r="C9" s="6">
        <v>3.0</v>
      </c>
      <c r="D9" s="7" t="s">
        <v>13</v>
      </c>
      <c r="E9" s="16"/>
      <c r="F9" s="9">
        <v>1.0</v>
      </c>
      <c r="G9" s="9" t="s">
        <v>9</v>
      </c>
      <c r="H9" s="10">
        <v>500000.0</v>
      </c>
      <c r="I9" s="10">
        <f t="shared" si="2"/>
        <v>500000</v>
      </c>
    </row>
    <row r="10">
      <c r="C10" s="12" t="s">
        <v>11</v>
      </c>
      <c r="D10" s="4"/>
      <c r="E10" s="4"/>
      <c r="F10" s="4"/>
      <c r="G10" s="4"/>
      <c r="H10" s="5"/>
      <c r="I10" s="13">
        <f>SUM(I8:I9)</f>
        <v>48500000</v>
      </c>
    </row>
    <row r="11">
      <c r="C11" s="6">
        <v>1.0</v>
      </c>
      <c r="D11" s="7" t="s">
        <v>14</v>
      </c>
      <c r="E11" s="14" t="s">
        <v>15</v>
      </c>
      <c r="F11" s="9">
        <v>1.0</v>
      </c>
      <c r="G11" s="9" t="s">
        <v>9</v>
      </c>
      <c r="H11" s="10">
        <v>172000.0</v>
      </c>
      <c r="I11" s="10">
        <f t="shared" ref="I11:I12" si="3">F11*H11</f>
        <v>172000</v>
      </c>
    </row>
    <row r="12">
      <c r="C12" s="6">
        <v>2.0</v>
      </c>
      <c r="D12" s="7" t="s">
        <v>16</v>
      </c>
      <c r="E12" s="11"/>
      <c r="F12" s="9">
        <v>3.0</v>
      </c>
      <c r="G12" s="9" t="s">
        <v>9</v>
      </c>
      <c r="H12" s="10">
        <v>8000000.0</v>
      </c>
      <c r="I12" s="10">
        <f t="shared" si="3"/>
        <v>24000000</v>
      </c>
    </row>
    <row r="13">
      <c r="C13" s="12" t="s">
        <v>11</v>
      </c>
      <c r="D13" s="4"/>
      <c r="E13" s="4"/>
      <c r="F13" s="4"/>
      <c r="G13" s="4"/>
      <c r="H13" s="5"/>
      <c r="I13" s="13">
        <f>SUM(I11:I12)</f>
        <v>24172000</v>
      </c>
    </row>
    <row r="14">
      <c r="C14" s="6">
        <v>1.0</v>
      </c>
      <c r="D14" s="7" t="s">
        <v>17</v>
      </c>
      <c r="E14" s="14" t="s">
        <v>18</v>
      </c>
      <c r="F14" s="9">
        <v>1.0</v>
      </c>
      <c r="G14" s="9" t="s">
        <v>9</v>
      </c>
      <c r="H14" s="10">
        <v>172000.0</v>
      </c>
      <c r="I14" s="10">
        <f t="shared" ref="I14:I17" si="4">F14*H14</f>
        <v>172000</v>
      </c>
    </row>
    <row r="15">
      <c r="C15" s="6">
        <v>2.0</v>
      </c>
      <c r="D15" s="7" t="s">
        <v>16</v>
      </c>
      <c r="E15" s="16"/>
      <c r="F15" s="9">
        <v>1.0</v>
      </c>
      <c r="G15" s="9" t="s">
        <v>9</v>
      </c>
      <c r="H15" s="10">
        <v>8000000.0</v>
      </c>
      <c r="I15" s="10">
        <f t="shared" si="4"/>
        <v>8000000</v>
      </c>
    </row>
    <row r="16">
      <c r="C16" s="6">
        <v>3.0</v>
      </c>
      <c r="D16" s="7" t="s">
        <v>12</v>
      </c>
      <c r="E16" s="16"/>
      <c r="F16" s="9">
        <v>1.0</v>
      </c>
      <c r="G16" s="9" t="s">
        <v>9</v>
      </c>
      <c r="H16" s="10">
        <v>1.2E7</v>
      </c>
      <c r="I16" s="10">
        <f t="shared" si="4"/>
        <v>12000000</v>
      </c>
    </row>
    <row r="17">
      <c r="C17" s="6">
        <v>4.0</v>
      </c>
      <c r="D17" s="7" t="s">
        <v>19</v>
      </c>
      <c r="E17" s="11"/>
      <c r="F17" s="9">
        <v>1.0</v>
      </c>
      <c r="G17" s="9" t="s">
        <v>9</v>
      </c>
      <c r="H17" s="10">
        <v>5000000.0</v>
      </c>
      <c r="I17" s="10">
        <f t="shared" si="4"/>
        <v>5000000</v>
      </c>
    </row>
    <row r="18">
      <c r="C18" s="12" t="s">
        <v>11</v>
      </c>
      <c r="D18" s="4"/>
      <c r="E18" s="4"/>
      <c r="F18" s="4"/>
      <c r="G18" s="4"/>
      <c r="H18" s="5"/>
      <c r="I18" s="13">
        <f>SUM(I14:I17)</f>
        <v>25172000</v>
      </c>
    </row>
    <row r="19">
      <c r="C19" s="6">
        <v>1.0</v>
      </c>
      <c r="D19" s="7" t="s">
        <v>17</v>
      </c>
      <c r="E19" s="14" t="s">
        <v>20</v>
      </c>
      <c r="F19" s="9">
        <v>1.0</v>
      </c>
      <c r="G19" s="9" t="s">
        <v>9</v>
      </c>
      <c r="H19" s="10">
        <v>172000.0</v>
      </c>
      <c r="I19" s="10">
        <f t="shared" ref="I19:I21" si="5">F19*H19</f>
        <v>172000</v>
      </c>
    </row>
    <row r="20">
      <c r="C20" s="6">
        <v>2.0</v>
      </c>
      <c r="D20" s="7" t="s">
        <v>16</v>
      </c>
      <c r="E20" s="16"/>
      <c r="F20" s="9">
        <v>2.0</v>
      </c>
      <c r="G20" s="9" t="s">
        <v>9</v>
      </c>
      <c r="H20" s="10">
        <v>8000000.0</v>
      </c>
      <c r="I20" s="10">
        <f t="shared" si="5"/>
        <v>16000000</v>
      </c>
    </row>
    <row r="21">
      <c r="C21" s="6">
        <v>3.0</v>
      </c>
      <c r="D21" s="7" t="s">
        <v>19</v>
      </c>
      <c r="E21" s="11"/>
      <c r="F21" s="9">
        <v>4.0</v>
      </c>
      <c r="G21" s="9" t="s">
        <v>9</v>
      </c>
      <c r="H21" s="10">
        <v>5000000.0</v>
      </c>
      <c r="I21" s="10">
        <f t="shared" si="5"/>
        <v>20000000</v>
      </c>
    </row>
    <row r="22">
      <c r="C22" s="12" t="s">
        <v>11</v>
      </c>
      <c r="D22" s="4"/>
      <c r="E22" s="4"/>
      <c r="F22" s="4"/>
      <c r="G22" s="4"/>
      <c r="H22" s="5"/>
      <c r="I22" s="13">
        <f>SUM(I19:I21)</f>
        <v>36172000</v>
      </c>
    </row>
    <row r="23">
      <c r="C23" s="6">
        <v>1.0</v>
      </c>
      <c r="D23" s="7" t="s">
        <v>17</v>
      </c>
      <c r="E23" s="14" t="s">
        <v>21</v>
      </c>
      <c r="F23" s="9">
        <v>1.0</v>
      </c>
      <c r="G23" s="9" t="s">
        <v>9</v>
      </c>
      <c r="H23" s="10">
        <v>172000.0</v>
      </c>
      <c r="I23" s="10">
        <f t="shared" ref="I23:I27" si="6">F23*H23</f>
        <v>172000</v>
      </c>
    </row>
    <row r="24">
      <c r="C24" s="6">
        <v>2.0</v>
      </c>
      <c r="D24" s="7" t="s">
        <v>22</v>
      </c>
      <c r="E24" s="16"/>
      <c r="F24" s="9">
        <v>1.0</v>
      </c>
      <c r="G24" s="9" t="s">
        <v>9</v>
      </c>
      <c r="H24" s="10">
        <v>3000000.0</v>
      </c>
      <c r="I24" s="10">
        <f t="shared" si="6"/>
        <v>3000000</v>
      </c>
    </row>
    <row r="25">
      <c r="C25" s="6">
        <v>3.0</v>
      </c>
      <c r="D25" s="7" t="s">
        <v>16</v>
      </c>
      <c r="E25" s="16"/>
      <c r="F25" s="9">
        <v>1.0</v>
      </c>
      <c r="G25" s="9" t="s">
        <v>9</v>
      </c>
      <c r="H25" s="10">
        <v>8000000.0</v>
      </c>
      <c r="I25" s="10">
        <f t="shared" si="6"/>
        <v>8000000</v>
      </c>
    </row>
    <row r="26">
      <c r="C26" s="6">
        <v>4.0</v>
      </c>
      <c r="D26" s="7" t="s">
        <v>12</v>
      </c>
      <c r="E26" s="16"/>
      <c r="F26" s="9">
        <v>1.0</v>
      </c>
      <c r="G26" s="9" t="s">
        <v>9</v>
      </c>
      <c r="H26" s="10">
        <v>1.2E7</v>
      </c>
      <c r="I26" s="10">
        <f t="shared" si="6"/>
        <v>12000000</v>
      </c>
    </row>
    <row r="27">
      <c r="C27" s="6">
        <v>5.0</v>
      </c>
      <c r="D27" s="7" t="s">
        <v>23</v>
      </c>
      <c r="E27" s="11"/>
      <c r="F27" s="9">
        <v>2.0</v>
      </c>
      <c r="G27" s="9" t="s">
        <v>9</v>
      </c>
      <c r="H27" s="10">
        <v>2000000.0</v>
      </c>
      <c r="I27" s="10">
        <f t="shared" si="6"/>
        <v>4000000</v>
      </c>
    </row>
    <row r="28">
      <c r="C28" s="12" t="s">
        <v>11</v>
      </c>
      <c r="D28" s="4"/>
      <c r="E28" s="4"/>
      <c r="F28" s="4"/>
      <c r="G28" s="4"/>
      <c r="H28" s="5"/>
      <c r="I28" s="13">
        <f>SUM(I23:I27)</f>
        <v>27172000</v>
      </c>
    </row>
    <row r="29">
      <c r="C29" s="6">
        <v>1.0</v>
      </c>
      <c r="D29" s="7" t="s">
        <v>17</v>
      </c>
      <c r="E29" s="14" t="s">
        <v>24</v>
      </c>
      <c r="F29" s="9">
        <v>1.0</v>
      </c>
      <c r="G29" s="9" t="s">
        <v>9</v>
      </c>
      <c r="H29" s="10">
        <v>172000.0</v>
      </c>
      <c r="I29" s="10">
        <f t="shared" ref="I29:I32" si="7">F29*H29</f>
        <v>172000</v>
      </c>
    </row>
    <row r="30">
      <c r="C30" s="6">
        <v>2.0</v>
      </c>
      <c r="D30" s="7" t="s">
        <v>25</v>
      </c>
      <c r="E30" s="16"/>
      <c r="F30" s="9">
        <v>1.0</v>
      </c>
      <c r="G30" s="9" t="s">
        <v>9</v>
      </c>
      <c r="H30" s="10">
        <v>5000000.0</v>
      </c>
      <c r="I30" s="10">
        <f t="shared" si="7"/>
        <v>5000000</v>
      </c>
    </row>
    <row r="31">
      <c r="C31" s="6">
        <v>3.0</v>
      </c>
      <c r="D31" s="7" t="s">
        <v>12</v>
      </c>
      <c r="E31" s="16"/>
      <c r="F31" s="9">
        <v>1.0</v>
      </c>
      <c r="G31" s="9" t="s">
        <v>9</v>
      </c>
      <c r="H31" s="10">
        <v>1.2E7</v>
      </c>
      <c r="I31" s="10">
        <f t="shared" si="7"/>
        <v>12000000</v>
      </c>
    </row>
    <row r="32">
      <c r="C32" s="6">
        <v>4.0</v>
      </c>
      <c r="D32" s="7" t="s">
        <v>22</v>
      </c>
      <c r="E32" s="11"/>
      <c r="F32" s="9">
        <v>1.0</v>
      </c>
      <c r="G32" s="9" t="s">
        <v>9</v>
      </c>
      <c r="H32" s="10">
        <v>3000000.0</v>
      </c>
      <c r="I32" s="10">
        <f t="shared" si="7"/>
        <v>3000000</v>
      </c>
    </row>
    <row r="33">
      <c r="C33" s="12" t="s">
        <v>11</v>
      </c>
      <c r="D33" s="4"/>
      <c r="E33" s="4"/>
      <c r="F33" s="4"/>
      <c r="G33" s="4"/>
      <c r="H33" s="5"/>
      <c r="I33" s="13">
        <f>SUM(I29:I32)</f>
        <v>20172000</v>
      </c>
    </row>
    <row r="34">
      <c r="C34" s="6">
        <v>1.0</v>
      </c>
      <c r="D34" s="7" t="s">
        <v>17</v>
      </c>
      <c r="E34" s="14" t="s">
        <v>26</v>
      </c>
      <c r="F34" s="9">
        <v>1.0</v>
      </c>
      <c r="G34" s="9" t="s">
        <v>9</v>
      </c>
      <c r="H34" s="10">
        <v>172000.0</v>
      </c>
      <c r="I34" s="10">
        <f t="shared" ref="I34:I37" si="8">F34*H34</f>
        <v>172000</v>
      </c>
    </row>
    <row r="35">
      <c r="C35" s="6">
        <v>2.0</v>
      </c>
      <c r="D35" s="7" t="s">
        <v>25</v>
      </c>
      <c r="E35" s="16"/>
      <c r="F35" s="9">
        <v>1.0</v>
      </c>
      <c r="G35" s="9" t="s">
        <v>9</v>
      </c>
      <c r="H35" s="10">
        <v>5000000.0</v>
      </c>
      <c r="I35" s="10">
        <f t="shared" si="8"/>
        <v>5000000</v>
      </c>
    </row>
    <row r="36">
      <c r="C36" s="6">
        <v>3.0</v>
      </c>
      <c r="D36" s="7" t="s">
        <v>12</v>
      </c>
      <c r="E36" s="16"/>
      <c r="F36" s="9">
        <v>1.0</v>
      </c>
      <c r="G36" s="9" t="s">
        <v>9</v>
      </c>
      <c r="H36" s="10">
        <v>1.2E7</v>
      </c>
      <c r="I36" s="10">
        <f t="shared" si="8"/>
        <v>12000000</v>
      </c>
    </row>
    <row r="37">
      <c r="C37" s="6">
        <v>4.0</v>
      </c>
      <c r="D37" s="7" t="s">
        <v>27</v>
      </c>
      <c r="E37" s="11"/>
      <c r="F37" s="9">
        <v>1.0</v>
      </c>
      <c r="G37" s="9" t="s">
        <v>9</v>
      </c>
      <c r="H37" s="10">
        <v>8000000.0</v>
      </c>
      <c r="I37" s="10">
        <f t="shared" si="8"/>
        <v>8000000</v>
      </c>
    </row>
    <row r="38">
      <c r="C38" s="12" t="s">
        <v>11</v>
      </c>
      <c r="D38" s="4"/>
      <c r="E38" s="4"/>
      <c r="F38" s="4"/>
      <c r="G38" s="4"/>
      <c r="H38" s="5"/>
      <c r="I38" s="13">
        <f>SUM(I34:I37)</f>
        <v>25172000</v>
      </c>
    </row>
    <row r="39">
      <c r="C39" s="6">
        <v>1.0</v>
      </c>
      <c r="D39" s="7" t="s">
        <v>17</v>
      </c>
      <c r="E39" s="14" t="s">
        <v>28</v>
      </c>
      <c r="F39" s="9">
        <v>1.0</v>
      </c>
      <c r="G39" s="9" t="s">
        <v>9</v>
      </c>
      <c r="H39" s="10">
        <v>172000.0</v>
      </c>
      <c r="I39" s="10">
        <f t="shared" ref="I39:I42" si="9">F39*H39</f>
        <v>172000</v>
      </c>
    </row>
    <row r="40">
      <c r="C40" s="6">
        <v>2.0</v>
      </c>
      <c r="D40" s="7" t="s">
        <v>13</v>
      </c>
      <c r="E40" s="16"/>
      <c r="F40" s="9">
        <v>1.0</v>
      </c>
      <c r="G40" s="9" t="s">
        <v>9</v>
      </c>
      <c r="H40" s="10">
        <v>300000.0</v>
      </c>
      <c r="I40" s="10">
        <f t="shared" si="9"/>
        <v>300000</v>
      </c>
    </row>
    <row r="41">
      <c r="C41" s="6">
        <v>3.0</v>
      </c>
      <c r="D41" s="7" t="s">
        <v>12</v>
      </c>
      <c r="E41" s="16"/>
      <c r="F41" s="9">
        <v>4.0</v>
      </c>
      <c r="G41" s="9" t="s">
        <v>9</v>
      </c>
      <c r="H41" s="10">
        <v>1.2E7</v>
      </c>
      <c r="I41" s="10">
        <f t="shared" si="9"/>
        <v>48000000</v>
      </c>
    </row>
    <row r="42">
      <c r="C42" s="6">
        <v>4.0</v>
      </c>
      <c r="D42" s="7" t="s">
        <v>23</v>
      </c>
      <c r="E42" s="11"/>
      <c r="F42" s="9">
        <v>1.0</v>
      </c>
      <c r="G42" s="9" t="s">
        <v>9</v>
      </c>
      <c r="H42" s="10">
        <v>2000000.0</v>
      </c>
      <c r="I42" s="10">
        <f t="shared" si="9"/>
        <v>2000000</v>
      </c>
    </row>
    <row r="43">
      <c r="C43" s="12" t="s">
        <v>11</v>
      </c>
      <c r="D43" s="4"/>
      <c r="E43" s="4"/>
      <c r="F43" s="4"/>
      <c r="G43" s="4"/>
      <c r="H43" s="5"/>
      <c r="I43" s="13">
        <f>SUM(I39:I42)</f>
        <v>50472000</v>
      </c>
    </row>
    <row r="44">
      <c r="C44" s="6">
        <v>1.0</v>
      </c>
      <c r="D44" s="7" t="s">
        <v>17</v>
      </c>
      <c r="E44" s="14" t="s">
        <v>29</v>
      </c>
      <c r="F44" s="9">
        <v>1.0</v>
      </c>
      <c r="G44" s="9" t="s">
        <v>9</v>
      </c>
      <c r="H44" s="10">
        <v>172000.0</v>
      </c>
      <c r="I44" s="10">
        <f t="shared" ref="I44:I46" si="10">F44*H44</f>
        <v>172000</v>
      </c>
    </row>
    <row r="45">
      <c r="C45" s="6">
        <v>2.0</v>
      </c>
      <c r="D45" s="7" t="s">
        <v>27</v>
      </c>
      <c r="E45" s="16"/>
      <c r="F45" s="9">
        <v>4.0</v>
      </c>
      <c r="G45" s="9" t="s">
        <v>9</v>
      </c>
      <c r="H45" s="10">
        <v>8000000.0</v>
      </c>
      <c r="I45" s="10">
        <f t="shared" si="10"/>
        <v>32000000</v>
      </c>
    </row>
    <row r="46">
      <c r="C46" s="6">
        <v>3.0</v>
      </c>
      <c r="D46" s="7" t="s">
        <v>23</v>
      </c>
      <c r="E46" s="11"/>
      <c r="F46" s="9">
        <v>1.0</v>
      </c>
      <c r="G46" s="9" t="s">
        <v>9</v>
      </c>
      <c r="H46" s="10">
        <v>2000000.0</v>
      </c>
      <c r="I46" s="10">
        <f t="shared" si="10"/>
        <v>2000000</v>
      </c>
    </row>
    <row r="47">
      <c r="C47" s="12" t="s">
        <v>11</v>
      </c>
      <c r="D47" s="4"/>
      <c r="E47" s="4"/>
      <c r="F47" s="4"/>
      <c r="G47" s="4"/>
      <c r="H47" s="5"/>
      <c r="I47" s="13">
        <f>SUM(I44:I46)</f>
        <v>34172000</v>
      </c>
    </row>
    <row r="48">
      <c r="C48" s="6">
        <v>1.0</v>
      </c>
      <c r="D48" s="7" t="s">
        <v>17</v>
      </c>
      <c r="E48" s="14" t="s">
        <v>30</v>
      </c>
      <c r="F48" s="9">
        <v>1.0</v>
      </c>
      <c r="G48" s="9" t="s">
        <v>9</v>
      </c>
      <c r="H48" s="10">
        <v>172000.0</v>
      </c>
      <c r="I48" s="10">
        <f t="shared" ref="I48:I49" si="11">F48*H48</f>
        <v>172000</v>
      </c>
    </row>
    <row r="49">
      <c r="C49" s="6">
        <v>2.0</v>
      </c>
      <c r="D49" s="7" t="s">
        <v>19</v>
      </c>
      <c r="E49" s="11"/>
      <c r="F49" s="9">
        <v>4.0</v>
      </c>
      <c r="G49" s="9" t="s">
        <v>9</v>
      </c>
      <c r="H49" s="10">
        <v>5000000.0</v>
      </c>
      <c r="I49" s="10">
        <f t="shared" si="11"/>
        <v>20000000</v>
      </c>
    </row>
    <row r="50">
      <c r="C50" s="12" t="s">
        <v>11</v>
      </c>
      <c r="D50" s="4"/>
      <c r="E50" s="4"/>
      <c r="F50" s="4"/>
      <c r="G50" s="4"/>
      <c r="H50" s="5"/>
      <c r="I50" s="13">
        <f>SUM(I48:I49)</f>
        <v>20172000</v>
      </c>
    </row>
    <row r="51">
      <c r="C51" s="17"/>
      <c r="D51" s="7" t="s">
        <v>31</v>
      </c>
      <c r="E51" s="9" t="s">
        <v>32</v>
      </c>
      <c r="F51" s="18"/>
      <c r="G51" s="18"/>
      <c r="H51" s="18"/>
      <c r="I51" s="19">
        <v>1.0E7</v>
      </c>
    </row>
    <row r="52">
      <c r="C52" s="20" t="s">
        <v>11</v>
      </c>
      <c r="D52" s="4"/>
      <c r="E52" s="4"/>
      <c r="F52" s="4"/>
      <c r="G52" s="4"/>
      <c r="H52" s="5"/>
      <c r="I52" s="21">
        <f>I7+I10+I13+I18+I22+I28+I33+I38+I43+I47+I50+I51</f>
        <v>368848000</v>
      </c>
    </row>
    <row r="53">
      <c r="C53" s="22"/>
      <c r="D53" s="22"/>
      <c r="E53" s="22"/>
      <c r="F53" s="22"/>
      <c r="G53" s="22"/>
      <c r="H53" s="22"/>
      <c r="I53" s="22"/>
    </row>
    <row r="54">
      <c r="C54" s="22"/>
      <c r="D54" s="22"/>
      <c r="E54" s="22"/>
      <c r="F54" s="22"/>
      <c r="G54" s="22"/>
      <c r="H54" s="22"/>
      <c r="I54" s="22"/>
    </row>
    <row r="55">
      <c r="C55" s="22"/>
      <c r="D55" s="22"/>
      <c r="E55" s="22"/>
      <c r="F55" s="22"/>
      <c r="G55" s="22"/>
      <c r="H55" s="22"/>
      <c r="I55" s="22"/>
    </row>
    <row r="56">
      <c r="C56" s="22"/>
      <c r="D56" s="22"/>
      <c r="E56" s="22"/>
      <c r="F56" s="22"/>
      <c r="G56" s="22"/>
      <c r="H56" s="22"/>
      <c r="I56" s="22"/>
    </row>
    <row r="57">
      <c r="C57" s="22"/>
      <c r="D57" s="22"/>
      <c r="E57" s="22"/>
      <c r="F57" s="22"/>
      <c r="G57" s="22"/>
      <c r="H57" s="22"/>
      <c r="I57" s="22"/>
    </row>
  </sheetData>
  <mergeCells count="24">
    <mergeCell ref="C4:I4"/>
    <mergeCell ref="E5:E6"/>
    <mergeCell ref="C7:H7"/>
    <mergeCell ref="C10:H10"/>
    <mergeCell ref="E11:E12"/>
    <mergeCell ref="C13:H13"/>
    <mergeCell ref="E8:E9"/>
    <mergeCell ref="E29:E32"/>
    <mergeCell ref="E34:E37"/>
    <mergeCell ref="E39:E42"/>
    <mergeCell ref="E44:E46"/>
    <mergeCell ref="E48:E49"/>
    <mergeCell ref="C38:H38"/>
    <mergeCell ref="C43:H43"/>
    <mergeCell ref="C47:H47"/>
    <mergeCell ref="C50:H50"/>
    <mergeCell ref="C52:H52"/>
    <mergeCell ref="E14:E17"/>
    <mergeCell ref="C18:H18"/>
    <mergeCell ref="E19:E21"/>
    <mergeCell ref="C22:H22"/>
    <mergeCell ref="E23:E27"/>
    <mergeCell ref="C28:H28"/>
    <mergeCell ref="C33:H33"/>
  </mergeCells>
  <drawing r:id="rId1"/>
</worksheet>
</file>